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newhaven-my.sharepoint.com/personal/aozkul_newhaven_edu/Documents/Courses - BANL6600 Power BI/"/>
    </mc:Choice>
  </mc:AlternateContent>
  <xr:revisionPtr revIDLastSave="20" documentId="13_ncr:1_{838C4851-CC11-40E9-B4B2-2EC2CD22BE4A}" xr6:coauthVersionLast="47" xr6:coauthVersionMax="47" xr10:uidLastSave="{EE682AD2-D130-423D-B1A7-02AD794C5A53}"/>
  <bookViews>
    <workbookView xWindow="-108" yWindow="-108" windowWidth="23256" windowHeight="12456" xr2:uid="{7DE444CD-1C52-A14A-A155-132DAA79D6C5}"/>
  </bookViews>
  <sheets>
    <sheet name="Events" sheetId="2" r:id="rId1"/>
    <sheet name="Venu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K48" i="2"/>
  <c r="K47" i="2"/>
  <c r="K46" i="2"/>
  <c r="K45" i="2"/>
  <c r="K44" i="2"/>
  <c r="K43" i="2"/>
  <c r="K42" i="2"/>
  <c r="K41" i="2"/>
  <c r="K40" i="2"/>
  <c r="K39" i="2"/>
  <c r="K38" i="2"/>
  <c r="I63" i="2"/>
  <c r="I64" i="2"/>
  <c r="I65" i="2"/>
  <c r="I66" i="2"/>
  <c r="I67" i="2"/>
  <c r="I68" i="2"/>
  <c r="I69" i="2"/>
  <c r="I70" i="2"/>
  <c r="I71" i="2"/>
  <c r="I72" i="2"/>
  <c r="I73" i="2"/>
  <c r="I62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J25" i="2"/>
  <c r="I25" i="2"/>
  <c r="H25" i="2"/>
  <c r="G25" i="2"/>
  <c r="F25" i="2"/>
  <c r="E25" i="2"/>
  <c r="K24" i="2"/>
  <c r="K23" i="2"/>
  <c r="K22" i="2"/>
  <c r="K21" i="2"/>
  <c r="K20" i="2"/>
  <c r="K19" i="2"/>
  <c r="K18" i="2"/>
  <c r="K17" i="2"/>
  <c r="K16" i="2"/>
  <c r="K15" i="2"/>
  <c r="K14" i="2"/>
</calcChain>
</file>

<file path=xl/sharedStrings.xml><?xml version="1.0" encoding="utf-8"?>
<sst xmlns="http://schemas.openxmlformats.org/spreadsheetml/2006/main" count="47" uniqueCount="31">
  <si>
    <t>Venue Type</t>
  </si>
  <si>
    <t>Stadium</t>
  </si>
  <si>
    <t>Venue Region</t>
  </si>
  <si>
    <t>Venue Age</t>
  </si>
  <si>
    <t>Month</t>
  </si>
  <si>
    <t>Electricity (kwh)</t>
  </si>
  <si>
    <t>Electricity ($)</t>
  </si>
  <si>
    <t>Natural Gas (therms)</t>
  </si>
  <si>
    <t>Natural Gas ($)</t>
  </si>
  <si>
    <t>Sport Type</t>
  </si>
  <si>
    <t>Baseball</t>
  </si>
  <si>
    <t>North East</t>
  </si>
  <si>
    <t>10-25 years old</t>
  </si>
  <si>
    <t>40-45,000</t>
  </si>
  <si>
    <t>Average Temp</t>
  </si>
  <si>
    <t>Football</t>
  </si>
  <si>
    <t>South West</t>
  </si>
  <si>
    <t>60-65,000</t>
  </si>
  <si>
    <t>Electricity-Related Tons Co2 Emissions</t>
  </si>
  <si>
    <t>Natural Gas-Related Tons Co2 Emissions</t>
  </si>
  <si>
    <t>Venue</t>
  </si>
  <si>
    <t>Average Monthly Attendance</t>
  </si>
  <si>
    <t>Arena</t>
  </si>
  <si>
    <t>Basketball</t>
  </si>
  <si>
    <t>15-20,000</t>
  </si>
  <si>
    <t>Hockey</t>
  </si>
  <si>
    <t>Midwest</t>
  </si>
  <si>
    <t>North West</t>
  </si>
  <si>
    <t>26-40 years old</t>
  </si>
  <si>
    <t>Number of Ticketed Events</t>
  </si>
  <si>
    <t>Venue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</si>
</sst>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0" fontId="2" fillId="2" borderId="0" xfId="0" applyFont="1" applyFill="1" applyAlignment="1">
      <alignment horizontal="center"/>
    </xf>
    <xf numFmtId="43" fontId="0" fillId="0" borderId="0" xfId="1" applyFont="1"/>
    <xf numFmtId="43" fontId="0" fillId="0" borderId="0" xfId="1" quotePrefix="1" applyFont="1"/>
    <xf numFmtId="43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44" fontId="0" fillId="0" borderId="0" xfId="2" applyFont="1"/>
    <xf numFmtId="1" fontId="0" fillId="0" borderId="0" xfId="0" applyNumberFormat="1"/>
    <xf numFmtId="164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23E7-C31C-FB4A-B481-9C413D29B44B}">
  <dimension ref="A1:K163"/>
  <sheetViews>
    <sheetView tabSelected="1" workbookViewId="0">
      <pane xSplit="2" ySplit="1" topLeftCell="C2" activePane="bottomRight" state="frozen"/>
      <selection pane="topRight" activeCell="C1" sqref="C1"/>
      <selection pane="bottomLeft" activeCell="A12" sqref="A12"/>
      <selection pane="bottomRight" activeCell="D16" sqref="D16"/>
    </sheetView>
  </sheetViews>
  <sheetFormatPr defaultColWidth="11" defaultRowHeight="15.6" x14ac:dyDescent="0.3"/>
  <cols>
    <col min="1" max="1" width="7" customWidth="1"/>
    <col min="2" max="2" width="8.8984375" customWidth="1"/>
    <col min="3" max="3" width="12.5" customWidth="1"/>
    <col min="4" max="4" width="12.8984375" customWidth="1"/>
    <col min="5" max="5" width="16" customWidth="1"/>
    <col min="6" max="6" width="16.5" customWidth="1"/>
    <col min="7" max="7" width="20.5" customWidth="1"/>
    <col min="8" max="8" width="12.59765625" customWidth="1"/>
    <col min="9" max="9" width="15.09765625" customWidth="1"/>
    <col min="10" max="10" width="19" customWidth="1"/>
    <col min="11" max="11" width="10.09765625" customWidth="1"/>
  </cols>
  <sheetData>
    <row r="1" spans="1:11" s="6" customFormat="1" ht="46.8" x14ac:dyDescent="0.3">
      <c r="A1" s="7" t="s">
        <v>20</v>
      </c>
      <c r="B1" s="7" t="s">
        <v>4</v>
      </c>
      <c r="C1" s="7" t="s">
        <v>29</v>
      </c>
      <c r="D1" s="7" t="s">
        <v>21</v>
      </c>
      <c r="E1" s="7" t="s">
        <v>5</v>
      </c>
      <c r="F1" s="7" t="s">
        <v>6</v>
      </c>
      <c r="G1" s="7" t="s">
        <v>18</v>
      </c>
      <c r="H1" s="7" t="s">
        <v>7</v>
      </c>
      <c r="I1" s="7" t="s">
        <v>8</v>
      </c>
      <c r="J1" s="7" t="s">
        <v>19</v>
      </c>
      <c r="K1" s="7" t="s">
        <v>14</v>
      </c>
    </row>
    <row r="2" spans="1:11" x14ac:dyDescent="0.3">
      <c r="A2">
        <v>2</v>
      </c>
      <c r="B2" s="1">
        <v>44562</v>
      </c>
      <c r="C2" s="9">
        <v>5</v>
      </c>
      <c r="D2" s="10">
        <v>63155</v>
      </c>
      <c r="E2" s="3">
        <v>2572000</v>
      </c>
      <c r="F2" s="8">
        <v>385800</v>
      </c>
      <c r="G2" s="4">
        <v>1054.52</v>
      </c>
      <c r="H2" s="3">
        <v>77172</v>
      </c>
      <c r="I2" s="8">
        <v>88361.94</v>
      </c>
      <c r="J2" s="3">
        <v>430.07133303611238</v>
      </c>
      <c r="K2">
        <v>52</v>
      </c>
    </row>
    <row r="3" spans="1:11" x14ac:dyDescent="0.3">
      <c r="A3">
        <v>2</v>
      </c>
      <c r="B3" s="1">
        <v>44593</v>
      </c>
      <c r="C3" s="9">
        <v>3</v>
      </c>
      <c r="D3" s="10">
        <v>59172</v>
      </c>
      <c r="E3" s="3">
        <v>1700000</v>
      </c>
      <c r="F3" s="8">
        <v>255000</v>
      </c>
      <c r="G3" s="4">
        <v>697</v>
      </c>
      <c r="H3" s="3">
        <v>52330</v>
      </c>
      <c r="I3" s="8">
        <v>59917.85</v>
      </c>
      <c r="J3" s="3">
        <v>291.62951404369147</v>
      </c>
      <c r="K3">
        <v>52</v>
      </c>
    </row>
    <row r="4" spans="1:11" x14ac:dyDescent="0.3">
      <c r="A4">
        <v>2</v>
      </c>
      <c r="B4" s="1">
        <v>44621</v>
      </c>
      <c r="C4" s="9">
        <v>2</v>
      </c>
      <c r="D4" s="10">
        <v>58169</v>
      </c>
      <c r="E4" s="3">
        <v>901100</v>
      </c>
      <c r="F4" s="8">
        <v>135165</v>
      </c>
      <c r="G4" s="4">
        <v>369.45099999999996</v>
      </c>
      <c r="H4" s="3">
        <v>12890</v>
      </c>
      <c r="I4" s="8">
        <v>14759.050000000001</v>
      </c>
      <c r="J4" s="3">
        <v>71.834596522514488</v>
      </c>
      <c r="K4">
        <v>60</v>
      </c>
    </row>
    <row r="5" spans="1:11" x14ac:dyDescent="0.3">
      <c r="A5">
        <v>2</v>
      </c>
      <c r="B5" s="1">
        <v>44652</v>
      </c>
      <c r="C5" s="9">
        <v>2</v>
      </c>
      <c r="D5" s="10">
        <v>53122</v>
      </c>
      <c r="E5" s="3">
        <v>972100</v>
      </c>
      <c r="F5" s="8">
        <v>145815</v>
      </c>
      <c r="G5" s="4">
        <v>398.56099999999998</v>
      </c>
      <c r="H5" s="3">
        <v>8470</v>
      </c>
      <c r="I5" s="8">
        <v>9698.15</v>
      </c>
      <c r="J5" s="3">
        <v>47.202407489968792</v>
      </c>
      <c r="K5">
        <v>65</v>
      </c>
    </row>
    <row r="6" spans="1:11" x14ac:dyDescent="0.3">
      <c r="A6">
        <v>2</v>
      </c>
      <c r="B6" s="1">
        <v>44682</v>
      </c>
      <c r="C6" s="9">
        <v>2</v>
      </c>
      <c r="D6" s="10">
        <v>56182</v>
      </c>
      <c r="E6" s="3">
        <v>986000</v>
      </c>
      <c r="F6" s="8">
        <v>147900</v>
      </c>
      <c r="G6" s="4">
        <v>404.26</v>
      </c>
      <c r="H6" s="3">
        <v>9280</v>
      </c>
      <c r="I6" s="8">
        <v>10625.6</v>
      </c>
      <c r="J6" s="3">
        <v>51.716451181453408</v>
      </c>
      <c r="K6">
        <v>75</v>
      </c>
    </row>
    <row r="7" spans="1:11" x14ac:dyDescent="0.3">
      <c r="A7">
        <v>2</v>
      </c>
      <c r="B7" s="1">
        <v>44713</v>
      </c>
      <c r="C7" s="9">
        <v>2</v>
      </c>
      <c r="D7" s="10">
        <v>65499</v>
      </c>
      <c r="E7" s="3">
        <v>1761000</v>
      </c>
      <c r="F7" s="8">
        <v>264150</v>
      </c>
      <c r="G7" s="4">
        <v>722.01</v>
      </c>
      <c r="H7" s="3">
        <v>13459</v>
      </c>
      <c r="I7" s="8">
        <v>15410.555</v>
      </c>
      <c r="J7" s="3">
        <v>75.005572893446285</v>
      </c>
      <c r="K7">
        <v>84</v>
      </c>
    </row>
    <row r="8" spans="1:11" x14ac:dyDescent="0.3">
      <c r="A8">
        <v>2</v>
      </c>
      <c r="B8" s="1">
        <v>44743</v>
      </c>
      <c r="C8" s="9">
        <v>3</v>
      </c>
      <c r="D8" s="10">
        <v>65499</v>
      </c>
      <c r="E8" s="3">
        <v>1859200</v>
      </c>
      <c r="F8" s="8">
        <v>278880</v>
      </c>
      <c r="G8" s="4">
        <v>762.27199999999993</v>
      </c>
      <c r="H8" s="3">
        <v>16789</v>
      </c>
      <c r="I8" s="8">
        <v>19223.404999999999</v>
      </c>
      <c r="J8" s="3">
        <v>93.563308069549706</v>
      </c>
      <c r="K8">
        <v>89.3</v>
      </c>
    </row>
    <row r="9" spans="1:11" x14ac:dyDescent="0.3">
      <c r="A9">
        <v>2</v>
      </c>
      <c r="B9" s="1">
        <v>44774</v>
      </c>
      <c r="C9" s="9">
        <v>3</v>
      </c>
      <c r="D9" s="10">
        <v>61998</v>
      </c>
      <c r="E9" s="3">
        <v>1862000</v>
      </c>
      <c r="F9" s="8">
        <v>279300</v>
      </c>
      <c r="G9" s="4">
        <v>763.42</v>
      </c>
      <c r="H9" s="3">
        <v>21280</v>
      </c>
      <c r="I9" s="8">
        <v>24365.600000000002</v>
      </c>
      <c r="J9" s="3">
        <v>118.5911725367811</v>
      </c>
      <c r="K9">
        <v>92.9</v>
      </c>
    </row>
    <row r="10" spans="1:11" x14ac:dyDescent="0.3">
      <c r="A10">
        <v>2</v>
      </c>
      <c r="B10" s="1">
        <v>44805</v>
      </c>
      <c r="C10" s="9">
        <v>4</v>
      </c>
      <c r="D10" s="10">
        <v>62241</v>
      </c>
      <c r="E10" s="3">
        <v>2179200</v>
      </c>
      <c r="F10" s="8">
        <v>326880</v>
      </c>
      <c r="G10" s="4">
        <v>893.47199999999998</v>
      </c>
      <c r="H10" s="3">
        <v>32411</v>
      </c>
      <c r="I10" s="8">
        <v>37110.595000000001</v>
      </c>
      <c r="J10" s="3">
        <v>180.6230494872938</v>
      </c>
      <c r="K10">
        <v>84.6</v>
      </c>
    </row>
    <row r="11" spans="1:11" x14ac:dyDescent="0.3">
      <c r="A11">
        <v>2</v>
      </c>
      <c r="B11" s="1">
        <v>44835</v>
      </c>
      <c r="C11" s="9">
        <v>4</v>
      </c>
      <c r="D11" s="10">
        <v>36189</v>
      </c>
      <c r="E11" s="3">
        <v>2104020</v>
      </c>
      <c r="F11" s="8">
        <v>315603</v>
      </c>
      <c r="G11" s="4">
        <v>862.64819999999997</v>
      </c>
      <c r="H11" s="3">
        <v>54390</v>
      </c>
      <c r="I11" s="8">
        <v>62276.55</v>
      </c>
      <c r="J11" s="3">
        <v>303.10967454302272</v>
      </c>
      <c r="K11">
        <v>69</v>
      </c>
    </row>
    <row r="12" spans="1:11" x14ac:dyDescent="0.3">
      <c r="A12">
        <v>2</v>
      </c>
      <c r="B12" s="1">
        <v>44866</v>
      </c>
      <c r="C12" s="9">
        <v>5</v>
      </c>
      <c r="D12" s="10">
        <v>62002</v>
      </c>
      <c r="E12" s="3">
        <v>2276000</v>
      </c>
      <c r="F12" s="8">
        <v>341400</v>
      </c>
      <c r="G12" s="4">
        <v>933.16</v>
      </c>
      <c r="H12" s="3">
        <v>71223</v>
      </c>
      <c r="I12" s="8">
        <v>81550.335000000006</v>
      </c>
      <c r="J12" s="3">
        <v>396.91818992420866</v>
      </c>
      <c r="K12">
        <v>57</v>
      </c>
    </row>
    <row r="13" spans="1:11" x14ac:dyDescent="0.3">
      <c r="A13">
        <v>2</v>
      </c>
      <c r="B13" s="1">
        <v>44896</v>
      </c>
      <c r="C13" s="9">
        <v>4</v>
      </c>
      <c r="D13" s="10">
        <v>58121</v>
      </c>
      <c r="E13" s="3">
        <v>2422030</v>
      </c>
      <c r="F13" s="8">
        <v>363304.5</v>
      </c>
      <c r="G13" s="4">
        <v>993.03229999999996</v>
      </c>
      <c r="H13" s="3">
        <v>73490</v>
      </c>
      <c r="I13" s="8">
        <v>84146.05</v>
      </c>
      <c r="J13" s="3">
        <v>409.55193936691933</v>
      </c>
      <c r="K13">
        <v>50</v>
      </c>
    </row>
    <row r="14" spans="1:11" x14ac:dyDescent="0.3">
      <c r="A14">
        <v>1</v>
      </c>
      <c r="B14" s="1">
        <v>44562</v>
      </c>
      <c r="C14" s="9">
        <v>3</v>
      </c>
      <c r="D14" s="10">
        <v>28799</v>
      </c>
      <c r="E14" s="3">
        <v>1747200</v>
      </c>
      <c r="F14" s="8">
        <v>211133.15</v>
      </c>
      <c r="G14" s="4">
        <v>504.05774764799997</v>
      </c>
      <c r="H14" s="3">
        <v>64664.800000000003</v>
      </c>
      <c r="I14" s="8">
        <v>43215.69</v>
      </c>
      <c r="J14" s="3">
        <v>360.37515289397697</v>
      </c>
      <c r="K14">
        <f>AVERAGE(17, 34)</f>
        <v>25.5</v>
      </c>
    </row>
    <row r="15" spans="1:11" x14ac:dyDescent="0.3">
      <c r="A15">
        <v>1</v>
      </c>
      <c r="B15" s="1">
        <v>44593</v>
      </c>
      <c r="C15" s="9">
        <v>2</v>
      </c>
      <c r="D15" s="10">
        <v>21365</v>
      </c>
      <c r="E15" s="3">
        <v>1593600</v>
      </c>
      <c r="F15" s="8">
        <v>210254.69</v>
      </c>
      <c r="G15" s="4">
        <v>459.744978624</v>
      </c>
      <c r="H15" s="3">
        <v>54263.9</v>
      </c>
      <c r="I15" s="8">
        <v>40639.019999999997</v>
      </c>
      <c r="J15" s="3">
        <v>302.41122309391602</v>
      </c>
      <c r="K15">
        <f>AVERAGE(19, 37)</f>
        <v>28</v>
      </c>
    </row>
    <row r="16" spans="1:11" x14ac:dyDescent="0.3">
      <c r="A16">
        <v>1</v>
      </c>
      <c r="B16" s="1">
        <v>44621</v>
      </c>
      <c r="C16" s="9">
        <v>5</v>
      </c>
      <c r="D16" s="10">
        <v>38177</v>
      </c>
      <c r="E16" s="3">
        <v>1612800</v>
      </c>
      <c r="F16" s="8">
        <v>255531.6</v>
      </c>
      <c r="G16" s="3">
        <v>465.28407475199998</v>
      </c>
      <c r="H16" s="3">
        <v>34808.800000000003</v>
      </c>
      <c r="I16" s="8">
        <v>27246.7</v>
      </c>
      <c r="J16" s="3">
        <v>193.988485575705</v>
      </c>
      <c r="K16">
        <f>AVERAGE(28, 47)</f>
        <v>37.5</v>
      </c>
    </row>
    <row r="17" spans="1:11" x14ac:dyDescent="0.3">
      <c r="A17">
        <v>1</v>
      </c>
      <c r="B17" s="1">
        <v>44652</v>
      </c>
      <c r="C17" s="9">
        <v>11</v>
      </c>
      <c r="D17" s="10">
        <v>41010</v>
      </c>
      <c r="E17" s="3">
        <v>2016000</v>
      </c>
      <c r="F17" s="8">
        <v>353980.48</v>
      </c>
      <c r="G17" s="4">
        <v>581.60509344000002</v>
      </c>
      <c r="H17" s="3">
        <v>30375.599999999999</v>
      </c>
      <c r="I17" s="8">
        <v>39271.22</v>
      </c>
      <c r="J17" s="3">
        <v>169.28238383550701</v>
      </c>
      <c r="K17">
        <f>AVERAGE(38, 60)</f>
        <v>49</v>
      </c>
    </row>
    <row r="18" spans="1:11" x14ac:dyDescent="0.3">
      <c r="A18">
        <v>1</v>
      </c>
      <c r="B18" s="1">
        <v>44682</v>
      </c>
      <c r="C18" s="9">
        <v>13</v>
      </c>
      <c r="D18" s="10">
        <v>39020</v>
      </c>
      <c r="E18" s="3">
        <v>2246400</v>
      </c>
      <c r="F18" s="8">
        <v>450290.52</v>
      </c>
      <c r="G18" s="3">
        <v>648.07424697600004</v>
      </c>
      <c r="H18" s="3">
        <v>14134.8</v>
      </c>
      <c r="I18" s="8">
        <v>22428.6</v>
      </c>
      <c r="J18" s="3">
        <v>78.7728518626176</v>
      </c>
      <c r="K18">
        <f>AVERAGE(48,71)</f>
        <v>59.5</v>
      </c>
    </row>
    <row r="19" spans="1:11" x14ac:dyDescent="0.3">
      <c r="A19">
        <v>1</v>
      </c>
      <c r="B19" s="1">
        <v>44713</v>
      </c>
      <c r="C19" s="9">
        <v>15</v>
      </c>
      <c r="D19" s="10">
        <v>41332</v>
      </c>
      <c r="E19" s="3">
        <v>2371200</v>
      </c>
      <c r="F19" s="8">
        <v>500971</v>
      </c>
      <c r="G19" s="3">
        <v>684.07837180800004</v>
      </c>
      <c r="H19" s="3">
        <v>9240.9</v>
      </c>
      <c r="I19" s="8">
        <v>14368.31</v>
      </c>
      <c r="J19" s="3">
        <v>51.499281686140797</v>
      </c>
      <c r="K19">
        <f>AVERAGE(57,80)</f>
        <v>68.5</v>
      </c>
    </row>
    <row r="20" spans="1:11" x14ac:dyDescent="0.3">
      <c r="A20">
        <v>1</v>
      </c>
      <c r="B20" s="1">
        <v>44743</v>
      </c>
      <c r="C20" s="9">
        <v>11</v>
      </c>
      <c r="D20" s="10">
        <v>42330</v>
      </c>
      <c r="E20" s="3">
        <v>2592000</v>
      </c>
      <c r="F20" s="8">
        <v>671190.4</v>
      </c>
      <c r="G20" s="3">
        <v>747.77797727999996</v>
      </c>
      <c r="H20" s="3">
        <v>4928.3999999999996</v>
      </c>
      <c r="I20" s="8">
        <v>4564.05</v>
      </c>
      <c r="J20" s="3">
        <v>27.465837728140801</v>
      </c>
      <c r="K20">
        <f>AVERAGE(62,85)</f>
        <v>73.5</v>
      </c>
    </row>
    <row r="21" spans="1:11" x14ac:dyDescent="0.3">
      <c r="A21">
        <v>1</v>
      </c>
      <c r="B21" s="1">
        <v>44774</v>
      </c>
      <c r="C21" s="9">
        <v>12</v>
      </c>
      <c r="D21" s="10">
        <v>43556</v>
      </c>
      <c r="E21" s="3">
        <v>2544000</v>
      </c>
      <c r="F21" s="8">
        <v>709689.99</v>
      </c>
      <c r="G21" s="3">
        <v>733.93023696</v>
      </c>
      <c r="H21" s="3">
        <v>10257</v>
      </c>
      <c r="I21" s="8">
        <v>9785.15</v>
      </c>
      <c r="J21" s="3">
        <v>57.161979055583998</v>
      </c>
      <c r="K21">
        <f>AVERAGE(60,82)</f>
        <v>71</v>
      </c>
    </row>
    <row r="22" spans="1:11" x14ac:dyDescent="0.3">
      <c r="A22">
        <v>1</v>
      </c>
      <c r="B22" s="1">
        <v>44805</v>
      </c>
      <c r="C22" s="9">
        <v>13</v>
      </c>
      <c r="D22" s="10">
        <v>29080</v>
      </c>
      <c r="E22" s="3">
        <v>2179200</v>
      </c>
      <c r="F22" s="8">
        <v>616821.6</v>
      </c>
      <c r="G22" s="3">
        <v>628.68741052799999</v>
      </c>
      <c r="H22" s="3">
        <v>18718.7</v>
      </c>
      <c r="I22" s="8">
        <v>17421.87</v>
      </c>
      <c r="J22" s="3">
        <v>104.318800560374</v>
      </c>
      <c r="K22">
        <f>AVERAGE(52,74)</f>
        <v>63</v>
      </c>
    </row>
    <row r="23" spans="1:11" x14ac:dyDescent="0.3">
      <c r="A23">
        <v>1</v>
      </c>
      <c r="B23" s="1">
        <v>44835</v>
      </c>
      <c r="C23" s="9">
        <v>7</v>
      </c>
      <c r="D23" s="10">
        <v>28761</v>
      </c>
      <c r="E23" s="3">
        <v>1344000</v>
      </c>
      <c r="F23" s="8">
        <v>341462.96</v>
      </c>
      <c r="G23" s="4">
        <v>387.73672895999999</v>
      </c>
      <c r="H23" s="3">
        <v>13106.7</v>
      </c>
      <c r="I23" s="8">
        <v>12097.72</v>
      </c>
      <c r="J23" s="3">
        <v>73.043278823030406</v>
      </c>
      <c r="K23">
        <f>AVERAGE(40,63)</f>
        <v>51.5</v>
      </c>
    </row>
    <row r="24" spans="1:11" x14ac:dyDescent="0.3">
      <c r="A24">
        <v>1</v>
      </c>
      <c r="B24" s="1">
        <v>44866</v>
      </c>
      <c r="C24" s="9">
        <v>4</v>
      </c>
      <c r="D24" s="10">
        <v>21229</v>
      </c>
      <c r="E24" s="3">
        <v>1603200</v>
      </c>
      <c r="F24" s="8">
        <v>368054.42</v>
      </c>
      <c r="G24" s="4">
        <v>462.51452668799999</v>
      </c>
      <c r="H24" s="3">
        <v>12289.4</v>
      </c>
      <c r="I24" s="8">
        <v>12457.44</v>
      </c>
      <c r="J24" s="3">
        <v>68.488488388972797</v>
      </c>
      <c r="K24">
        <f>AVERAGE(32,50)</f>
        <v>41</v>
      </c>
    </row>
    <row r="25" spans="1:11" x14ac:dyDescent="0.3">
      <c r="A25">
        <v>1</v>
      </c>
      <c r="B25" s="1">
        <v>44896</v>
      </c>
      <c r="C25" s="9">
        <v>2</v>
      </c>
      <c r="D25" s="10">
        <v>21345</v>
      </c>
      <c r="E25" s="3">
        <f>AVERAGE(E24,E14)</f>
        <v>1675200</v>
      </c>
      <c r="F25" s="8">
        <f t="shared" ref="F25" si="0">AVERAGE(F24,F14)</f>
        <v>289593.78499999997</v>
      </c>
      <c r="G25" s="5">
        <f>AVERAGE(G24,G14)</f>
        <v>483.28613716799998</v>
      </c>
      <c r="H25" s="3">
        <f>AVERAGE(H24,H14)</f>
        <v>38477.1</v>
      </c>
      <c r="I25" s="8">
        <f>AVERAGE(I24,I14)</f>
        <v>27836.565000000002</v>
      </c>
      <c r="J25" s="3">
        <f>AVERAGE(J24,J14)</f>
        <v>214.43182064147487</v>
      </c>
      <c r="K25">
        <f>AVERAGE(22,39)</f>
        <v>30.5</v>
      </c>
    </row>
    <row r="26" spans="1:11" x14ac:dyDescent="0.3">
      <c r="A26">
        <v>3</v>
      </c>
      <c r="B26" s="1">
        <v>44562</v>
      </c>
      <c r="C26" s="9">
        <v>14</v>
      </c>
      <c r="D26" s="10">
        <v>17981</v>
      </c>
      <c r="E26" s="3">
        <v>1209362.3999999999</v>
      </c>
      <c r="F26" s="8">
        <v>326527.848</v>
      </c>
      <c r="G26" s="5">
        <v>474.10707212688902</v>
      </c>
      <c r="H26" s="3">
        <v>2636</v>
      </c>
      <c r="I26" s="8">
        <v>3608.6840000000002</v>
      </c>
      <c r="J26" s="3">
        <v>146.93863122464001</v>
      </c>
      <c r="K26">
        <f>AVERAGE(17, 34)</f>
        <v>25.5</v>
      </c>
    </row>
    <row r="27" spans="1:11" x14ac:dyDescent="0.3">
      <c r="A27">
        <v>3</v>
      </c>
      <c r="B27" s="1">
        <v>44593</v>
      </c>
      <c r="C27" s="9">
        <v>15</v>
      </c>
      <c r="D27" s="10">
        <v>18971</v>
      </c>
      <c r="E27" s="3">
        <v>1234901.43</v>
      </c>
      <c r="F27" s="8">
        <v>333423.3861</v>
      </c>
      <c r="G27" s="5">
        <v>484.11915348336299</v>
      </c>
      <c r="H27" s="3">
        <v>1975</v>
      </c>
      <c r="I27" s="8">
        <v>2703.7750000000001</v>
      </c>
      <c r="J27" s="3">
        <v>110.092487355335</v>
      </c>
      <c r="K27">
        <f>AVERAGE(19, 37)</f>
        <v>28</v>
      </c>
    </row>
    <row r="28" spans="1:11" x14ac:dyDescent="0.3">
      <c r="A28">
        <v>3</v>
      </c>
      <c r="B28" s="1">
        <v>44621</v>
      </c>
      <c r="C28" s="9">
        <v>12</v>
      </c>
      <c r="D28" s="10">
        <v>19908</v>
      </c>
      <c r="E28" s="3">
        <v>1054073.25</v>
      </c>
      <c r="F28" s="8">
        <v>284599.77750000003</v>
      </c>
      <c r="G28" s="5">
        <v>413.22897285774297</v>
      </c>
      <c r="H28" s="3">
        <v>1041</v>
      </c>
      <c r="I28" s="8">
        <v>1425.1289999999999</v>
      </c>
      <c r="J28" s="3">
        <v>58.028495866786798</v>
      </c>
      <c r="K28">
        <f>AVERAGE(28, 47)</f>
        <v>37.5</v>
      </c>
    </row>
    <row r="29" spans="1:11" x14ac:dyDescent="0.3">
      <c r="A29">
        <v>3</v>
      </c>
      <c r="B29" s="1">
        <v>44652</v>
      </c>
      <c r="C29" s="9">
        <v>13</v>
      </c>
      <c r="D29" s="10">
        <v>18789</v>
      </c>
      <c r="E29" s="3">
        <v>1659826.08</v>
      </c>
      <c r="F29" s="8">
        <v>448153.04160000006</v>
      </c>
      <c r="G29" s="5">
        <v>650.702620677352</v>
      </c>
      <c r="H29" s="3">
        <v>765</v>
      </c>
      <c r="I29" s="8">
        <v>1047.2850000000001</v>
      </c>
      <c r="J29" s="3">
        <v>42.643419152826098</v>
      </c>
      <c r="K29">
        <f>AVERAGE(38, 60)</f>
        <v>49</v>
      </c>
    </row>
    <row r="30" spans="1:11" x14ac:dyDescent="0.3">
      <c r="A30">
        <v>3</v>
      </c>
      <c r="B30" s="1">
        <v>44682</v>
      </c>
      <c r="C30" s="9">
        <v>11</v>
      </c>
      <c r="D30" s="10">
        <v>19842</v>
      </c>
      <c r="E30" s="3">
        <v>1286784.3600000001</v>
      </c>
      <c r="F30" s="8">
        <v>347431.77720000007</v>
      </c>
      <c r="G30" s="5">
        <v>504.45884986855299</v>
      </c>
      <c r="H30" s="3">
        <v>154</v>
      </c>
      <c r="I30" s="8">
        <v>210.82599999999999</v>
      </c>
      <c r="J30" s="3">
        <v>8.5844268621375406</v>
      </c>
      <c r="K30">
        <f>AVERAGE(48,71)</f>
        <v>59.5</v>
      </c>
    </row>
    <row r="31" spans="1:11" x14ac:dyDescent="0.3">
      <c r="A31">
        <v>3</v>
      </c>
      <c r="B31" s="1">
        <v>44713</v>
      </c>
      <c r="C31" s="9">
        <v>12</v>
      </c>
      <c r="D31" s="10">
        <v>19987</v>
      </c>
      <c r="E31" s="3">
        <v>1363893.12</v>
      </c>
      <c r="F31" s="8">
        <v>368251.14240000007</v>
      </c>
      <c r="G31" s="5">
        <v>534.68784362504402</v>
      </c>
      <c r="H31" s="3">
        <v>405</v>
      </c>
      <c r="I31" s="8">
        <v>554.44500000000005</v>
      </c>
      <c r="J31" s="3">
        <v>22.575927786790199</v>
      </c>
      <c r="K31">
        <f>AVERAGE(57,80)</f>
        <v>68.5</v>
      </c>
    </row>
    <row r="32" spans="1:11" x14ac:dyDescent="0.3">
      <c r="A32">
        <v>3</v>
      </c>
      <c r="B32" s="1">
        <v>44743</v>
      </c>
      <c r="C32" s="9">
        <v>9</v>
      </c>
      <c r="D32" s="10">
        <v>18119</v>
      </c>
      <c r="E32" s="3">
        <v>909162.36</v>
      </c>
      <c r="F32" s="8">
        <v>245473.83720000001</v>
      </c>
      <c r="G32" s="5">
        <v>356.41946912486497</v>
      </c>
      <c r="H32" s="3">
        <v>169</v>
      </c>
      <c r="I32" s="8">
        <v>231.36099999999999</v>
      </c>
      <c r="J32" s="3">
        <v>9.4205723357223601</v>
      </c>
      <c r="K32">
        <f>AVERAGE(62,85)</f>
        <v>73.5</v>
      </c>
    </row>
    <row r="33" spans="1:11" x14ac:dyDescent="0.3">
      <c r="A33">
        <v>3</v>
      </c>
      <c r="B33" s="1">
        <v>44774</v>
      </c>
      <c r="C33" s="9">
        <v>11</v>
      </c>
      <c r="D33" s="10">
        <v>18799</v>
      </c>
      <c r="E33" s="3">
        <v>1313496.27</v>
      </c>
      <c r="F33" s="8">
        <v>354643.99290000001</v>
      </c>
      <c r="G33" s="5">
        <v>514.93073607984695</v>
      </c>
      <c r="H33" s="3">
        <v>683</v>
      </c>
      <c r="I33" s="8">
        <v>935.02700000000004</v>
      </c>
      <c r="J33" s="3">
        <v>38.072490563895698</v>
      </c>
      <c r="K33">
        <f>AVERAGE(60,82)</f>
        <v>71</v>
      </c>
    </row>
    <row r="34" spans="1:11" x14ac:dyDescent="0.3">
      <c r="A34">
        <v>3</v>
      </c>
      <c r="B34" s="1">
        <v>44805</v>
      </c>
      <c r="C34" s="9">
        <v>10</v>
      </c>
      <c r="D34" s="10">
        <v>18122</v>
      </c>
      <c r="E34" s="3">
        <v>1327931.28</v>
      </c>
      <c r="F34" s="8">
        <v>358541.44560000004</v>
      </c>
      <c r="G34" s="5">
        <v>520.58970176889295</v>
      </c>
      <c r="H34" s="3">
        <v>1285</v>
      </c>
      <c r="I34" s="8">
        <v>1759.165</v>
      </c>
      <c r="J34" s="3">
        <v>71.629795570433302</v>
      </c>
      <c r="K34">
        <f>AVERAGE(52,74)</f>
        <v>63</v>
      </c>
    </row>
    <row r="35" spans="1:11" x14ac:dyDescent="0.3">
      <c r="A35">
        <v>3</v>
      </c>
      <c r="B35" s="1">
        <v>44835</v>
      </c>
      <c r="C35" s="9">
        <v>9</v>
      </c>
      <c r="D35" s="10">
        <v>19433</v>
      </c>
      <c r="E35" s="3">
        <v>1337054.31</v>
      </c>
      <c r="F35" s="8">
        <v>361004.66370000003</v>
      </c>
      <c r="G35" s="5">
        <v>524.16620873010299</v>
      </c>
      <c r="H35" s="3">
        <v>1428</v>
      </c>
      <c r="I35" s="8">
        <v>1954.932</v>
      </c>
      <c r="J35" s="3">
        <v>79.601049085275307</v>
      </c>
      <c r="K35">
        <f>AVERAGE(40,63)</f>
        <v>51.5</v>
      </c>
    </row>
    <row r="36" spans="1:11" x14ac:dyDescent="0.3">
      <c r="A36">
        <v>3</v>
      </c>
      <c r="B36" s="1">
        <v>44866</v>
      </c>
      <c r="C36" s="9">
        <v>6</v>
      </c>
      <c r="D36" s="10">
        <v>17645</v>
      </c>
      <c r="E36" s="3">
        <v>1244300.1299999999</v>
      </c>
      <c r="F36" s="8">
        <v>335961.03509999998</v>
      </c>
      <c r="G36" s="5">
        <v>487.80373152117801</v>
      </c>
      <c r="H36" s="3">
        <v>1760</v>
      </c>
      <c r="I36" s="8">
        <v>2409.44</v>
      </c>
      <c r="J36" s="3">
        <v>98.107735567286099</v>
      </c>
      <c r="K36">
        <f>AVERAGE(32,50)</f>
        <v>41</v>
      </c>
    </row>
    <row r="37" spans="1:11" x14ac:dyDescent="0.3">
      <c r="A37">
        <v>3</v>
      </c>
      <c r="B37" s="1">
        <v>44896</v>
      </c>
      <c r="C37" s="9">
        <v>8</v>
      </c>
      <c r="D37" s="10">
        <v>16799</v>
      </c>
      <c r="E37" s="3">
        <v>1402220.7</v>
      </c>
      <c r="F37" s="8">
        <v>378599.58900000004</v>
      </c>
      <c r="G37" s="5">
        <v>549.71342796230203</v>
      </c>
      <c r="H37" s="3">
        <v>2367</v>
      </c>
      <c r="I37" s="8">
        <v>3240.4229999999998</v>
      </c>
      <c r="J37" s="3">
        <v>131.943755731685</v>
      </c>
      <c r="K37">
        <f>AVERAGE(22,39)</f>
        <v>30.5</v>
      </c>
    </row>
    <row r="38" spans="1:11" x14ac:dyDescent="0.3">
      <c r="A38">
        <v>6</v>
      </c>
      <c r="B38" s="1">
        <v>44562</v>
      </c>
      <c r="C38" s="9">
        <v>11</v>
      </c>
      <c r="D38" s="10">
        <v>15040</v>
      </c>
      <c r="E38" s="3">
        <v>756800</v>
      </c>
      <c r="F38" s="8">
        <v>63845.57</v>
      </c>
      <c r="G38" s="5">
        <v>207.23672131359999</v>
      </c>
      <c r="H38" s="3">
        <v>33981.4</v>
      </c>
      <c r="I38" s="8">
        <v>30127.86</v>
      </c>
      <c r="J38" s="3">
        <v>189.377408119276</v>
      </c>
      <c r="K38">
        <f>AVERAGE(46, 36)</f>
        <v>41</v>
      </c>
    </row>
    <row r="39" spans="1:11" x14ac:dyDescent="0.3">
      <c r="A39">
        <v>6</v>
      </c>
      <c r="B39" s="1">
        <v>44593</v>
      </c>
      <c r="C39" s="9">
        <v>13</v>
      </c>
      <c r="D39" s="10">
        <v>15229</v>
      </c>
      <c r="E39" s="3">
        <v>652400</v>
      </c>
      <c r="F39" s="8">
        <v>59480.03</v>
      </c>
      <c r="G39" s="5">
        <v>178.6485689548</v>
      </c>
      <c r="H39" s="3">
        <v>37239.9</v>
      </c>
      <c r="I39" s="8">
        <v>32820.94</v>
      </c>
      <c r="J39" s="3">
        <v>207.53693904962799</v>
      </c>
      <c r="K39">
        <f>AVERAGE(49, 37)</f>
        <v>43</v>
      </c>
    </row>
    <row r="40" spans="1:11" x14ac:dyDescent="0.3">
      <c r="A40">
        <v>6</v>
      </c>
      <c r="B40" s="1">
        <v>44621</v>
      </c>
      <c r="C40" s="9">
        <v>11</v>
      </c>
      <c r="D40" s="10">
        <v>15667</v>
      </c>
      <c r="E40" s="3">
        <v>799614</v>
      </c>
      <c r="F40" s="8">
        <v>68945.600000000006</v>
      </c>
      <c r="G40" s="5">
        <v>218.960602109478</v>
      </c>
      <c r="H40" s="3">
        <v>25489.200000000001</v>
      </c>
      <c r="I40" s="8">
        <v>21742.15</v>
      </c>
      <c r="J40" s="3">
        <v>142.05061095286999</v>
      </c>
      <c r="K40">
        <f>AVERAGE(56,40)</f>
        <v>48</v>
      </c>
    </row>
    <row r="41" spans="1:11" x14ac:dyDescent="0.3">
      <c r="A41">
        <v>6</v>
      </c>
      <c r="B41" s="1">
        <v>44652</v>
      </c>
      <c r="C41" s="9">
        <v>12</v>
      </c>
      <c r="D41" s="10">
        <v>14987</v>
      </c>
      <c r="E41" s="3">
        <v>655231</v>
      </c>
      <c r="F41" s="8">
        <v>59482.25</v>
      </c>
      <c r="G41" s="5">
        <v>179.42378982958601</v>
      </c>
      <c r="H41" s="3">
        <v>7021.7</v>
      </c>
      <c r="I41" s="8">
        <v>5620.01</v>
      </c>
      <c r="J41" s="3">
        <v>39.131741087510399</v>
      </c>
      <c r="K41">
        <f>AVERAGE(62,43)</f>
        <v>52.5</v>
      </c>
    </row>
    <row r="42" spans="1:11" x14ac:dyDescent="0.3">
      <c r="A42">
        <v>6</v>
      </c>
      <c r="B42" s="1">
        <v>44682</v>
      </c>
      <c r="C42" s="9">
        <v>10</v>
      </c>
      <c r="D42" s="10">
        <v>16141</v>
      </c>
      <c r="E42" s="3">
        <v>489605</v>
      </c>
      <c r="F42" s="8">
        <v>46510.43</v>
      </c>
      <c r="G42" s="5">
        <v>134.06994574358501</v>
      </c>
      <c r="H42" s="3">
        <v>4330.5</v>
      </c>
      <c r="I42" s="8">
        <v>3912.85</v>
      </c>
      <c r="J42" s="3">
        <v>24.133757463216</v>
      </c>
      <c r="K42">
        <f>AVERAGE(70,49)</f>
        <v>59.5</v>
      </c>
    </row>
    <row r="43" spans="1:11" x14ac:dyDescent="0.3">
      <c r="A43">
        <v>6</v>
      </c>
      <c r="B43" s="1">
        <v>44713</v>
      </c>
      <c r="C43" s="9">
        <v>12</v>
      </c>
      <c r="D43" s="10">
        <v>16099</v>
      </c>
      <c r="E43" s="3">
        <v>694400</v>
      </c>
      <c r="F43" s="8">
        <v>64725.18</v>
      </c>
      <c r="G43" s="5">
        <v>190.14954978879999</v>
      </c>
      <c r="H43" s="3">
        <v>2273.1</v>
      </c>
      <c r="I43" s="8">
        <v>2607.7199999999998</v>
      </c>
      <c r="J43" s="3">
        <v>12.6679238170272</v>
      </c>
      <c r="K43">
        <f>AVERAGE(75,53)</f>
        <v>64</v>
      </c>
    </row>
    <row r="44" spans="1:11" x14ac:dyDescent="0.3">
      <c r="A44">
        <v>6</v>
      </c>
      <c r="B44" s="1">
        <v>44743</v>
      </c>
      <c r="C44" s="9">
        <v>8</v>
      </c>
      <c r="D44" s="10">
        <v>15998</v>
      </c>
      <c r="E44" s="3">
        <v>692800</v>
      </c>
      <c r="F44" s="8">
        <v>66719.73</v>
      </c>
      <c r="G44" s="5">
        <v>189.7114171856</v>
      </c>
      <c r="H44" s="3">
        <v>3565.6</v>
      </c>
      <c r="I44" s="8">
        <v>3520.93</v>
      </c>
      <c r="J44" s="3">
        <v>19.8709907887872</v>
      </c>
      <c r="K44">
        <f>AVERAGE(82,57)</f>
        <v>69.5</v>
      </c>
    </row>
    <row r="45" spans="1:11" x14ac:dyDescent="0.3">
      <c r="A45">
        <v>6</v>
      </c>
      <c r="B45" s="1">
        <v>44774</v>
      </c>
      <c r="C45" s="9">
        <v>10</v>
      </c>
      <c r="D45" s="10">
        <v>14917</v>
      </c>
      <c r="E45" s="3">
        <v>831200</v>
      </c>
      <c r="F45" s="8">
        <v>72920.72</v>
      </c>
      <c r="G45" s="5">
        <v>227.6098873624</v>
      </c>
      <c r="H45" s="3">
        <v>5515.3</v>
      </c>
      <c r="I45" s="8">
        <v>4664.43</v>
      </c>
      <c r="J45" s="3">
        <v>30.736615295433602</v>
      </c>
      <c r="K45">
        <f>AVERAGE(83,58)</f>
        <v>70.5</v>
      </c>
    </row>
    <row r="46" spans="1:11" x14ac:dyDescent="0.3">
      <c r="A46">
        <v>6</v>
      </c>
      <c r="B46" s="1">
        <v>44805</v>
      </c>
      <c r="C46" s="9">
        <v>10</v>
      </c>
      <c r="D46" s="10">
        <v>15132</v>
      </c>
      <c r="E46" s="3">
        <v>879200</v>
      </c>
      <c r="F46" s="8">
        <v>77617.429999999993</v>
      </c>
      <c r="G46" s="5">
        <v>240.75386545840001</v>
      </c>
      <c r="H46" s="3">
        <v>7907.2</v>
      </c>
      <c r="I46" s="8">
        <v>6181.73</v>
      </c>
      <c r="J46" s="3">
        <v>44.066608246886403</v>
      </c>
      <c r="K46">
        <f>AVERAGE(75,54)</f>
        <v>64.5</v>
      </c>
    </row>
    <row r="47" spans="1:11" x14ac:dyDescent="0.3">
      <c r="A47">
        <v>6</v>
      </c>
      <c r="B47" s="1">
        <v>44835</v>
      </c>
      <c r="C47" s="9">
        <v>8</v>
      </c>
      <c r="D47" s="10">
        <v>15112</v>
      </c>
      <c r="E47" s="3">
        <v>863601</v>
      </c>
      <c r="F47" s="8">
        <v>75058.63</v>
      </c>
      <c r="G47" s="5">
        <v>236.48234641007701</v>
      </c>
      <c r="H47" s="3">
        <v>20535.8</v>
      </c>
      <c r="I47" s="8">
        <v>13976.06</v>
      </c>
      <c r="J47" s="3">
        <v>114.44544891192901</v>
      </c>
      <c r="K47">
        <f>AVERAGE(64,47)</f>
        <v>55.5</v>
      </c>
    </row>
    <row r="48" spans="1:11" x14ac:dyDescent="0.3">
      <c r="A48">
        <v>6</v>
      </c>
      <c r="B48" s="1">
        <v>44866</v>
      </c>
      <c r="C48" s="9">
        <v>9</v>
      </c>
      <c r="D48" s="10">
        <v>16234</v>
      </c>
      <c r="E48" s="3">
        <v>919202</v>
      </c>
      <c r="F48" s="8">
        <v>73727.360000000001</v>
      </c>
      <c r="G48" s="5">
        <v>251.70772820415399</v>
      </c>
      <c r="H48" s="3">
        <v>25164.9</v>
      </c>
      <c r="I48" s="8">
        <v>14435.59</v>
      </c>
      <c r="J48" s="3">
        <v>140.24329596722799</v>
      </c>
      <c r="K48">
        <f>AVERAGE(52,41)</f>
        <v>46.5</v>
      </c>
    </row>
    <row r="49" spans="1:11" x14ac:dyDescent="0.3">
      <c r="A49">
        <v>6</v>
      </c>
      <c r="B49" s="1">
        <v>44896</v>
      </c>
      <c r="C49" s="9">
        <v>5</v>
      </c>
      <c r="D49" s="10">
        <v>13299</v>
      </c>
      <c r="E49" s="3">
        <v>722084</v>
      </c>
      <c r="F49" s="8">
        <v>63381.02</v>
      </c>
      <c r="G49" s="5">
        <v>197.73033915566799</v>
      </c>
      <c r="H49" s="3">
        <v>22564.5</v>
      </c>
      <c r="I49" s="8">
        <v>12577.94</v>
      </c>
      <c r="J49" s="3">
        <v>125.75133824702399</v>
      </c>
      <c r="K49">
        <f>AVERAGE(45,36)</f>
        <v>40.5</v>
      </c>
    </row>
    <row r="50" spans="1:11" x14ac:dyDescent="0.3">
      <c r="A50">
        <v>4</v>
      </c>
      <c r="B50" s="1">
        <v>44562</v>
      </c>
      <c r="C50">
        <v>12</v>
      </c>
      <c r="D50" s="10">
        <v>14987</v>
      </c>
      <c r="E50" s="3">
        <v>1275268</v>
      </c>
      <c r="F50" s="8">
        <v>191290.19999999998</v>
      </c>
      <c r="G50" s="5">
        <v>382.5804</v>
      </c>
      <c r="H50" s="3">
        <v>175.12</v>
      </c>
      <c r="I50" s="8">
        <v>1568.8</v>
      </c>
      <c r="J50" s="3">
        <v>9.7617196889449698</v>
      </c>
      <c r="K50">
        <v>20</v>
      </c>
    </row>
    <row r="51" spans="1:11" x14ac:dyDescent="0.3">
      <c r="A51">
        <v>4</v>
      </c>
      <c r="B51" s="1">
        <v>44593</v>
      </c>
      <c r="C51">
        <v>11</v>
      </c>
      <c r="D51" s="10">
        <v>13921</v>
      </c>
      <c r="E51" s="3">
        <v>1212465</v>
      </c>
      <c r="F51" s="8">
        <v>181869.75</v>
      </c>
      <c r="G51" s="5">
        <v>363.73950000000002</v>
      </c>
      <c r="H51" s="3">
        <v>509.51</v>
      </c>
      <c r="I51" s="8">
        <v>4237.4799999999996</v>
      </c>
      <c r="J51" s="3">
        <v>28.4016320164136</v>
      </c>
      <c r="K51">
        <v>19</v>
      </c>
    </row>
    <row r="52" spans="1:11" x14ac:dyDescent="0.3">
      <c r="A52">
        <v>4</v>
      </c>
      <c r="B52" s="1">
        <v>44621</v>
      </c>
      <c r="C52">
        <v>7</v>
      </c>
      <c r="D52" s="10">
        <v>15112</v>
      </c>
      <c r="E52" s="3">
        <v>1303419</v>
      </c>
      <c r="F52" s="8">
        <v>195512.85</v>
      </c>
      <c r="G52" s="5">
        <v>391.02569999999997</v>
      </c>
      <c r="H52" s="3">
        <v>152</v>
      </c>
      <c r="I52" s="8">
        <v>1386.04</v>
      </c>
      <c r="J52" s="3">
        <v>8.4729407989928909</v>
      </c>
      <c r="K52">
        <v>33</v>
      </c>
    </row>
    <row r="53" spans="1:11" x14ac:dyDescent="0.3">
      <c r="A53">
        <v>4</v>
      </c>
      <c r="B53" s="1">
        <v>44652</v>
      </c>
      <c r="C53">
        <v>10</v>
      </c>
      <c r="D53" s="10">
        <v>17899</v>
      </c>
      <c r="E53" s="3">
        <v>1214084</v>
      </c>
      <c r="F53" s="8">
        <v>182112.6</v>
      </c>
      <c r="G53" s="5">
        <v>364.22519999999997</v>
      </c>
      <c r="H53" s="3">
        <v>52.25</v>
      </c>
      <c r="I53" s="8">
        <v>596.77</v>
      </c>
      <c r="J53" s="3">
        <v>2.9125733996537999</v>
      </c>
      <c r="K53">
        <v>45</v>
      </c>
    </row>
    <row r="54" spans="1:11" x14ac:dyDescent="0.3">
      <c r="A54">
        <v>4</v>
      </c>
      <c r="B54" s="1">
        <v>44682</v>
      </c>
      <c r="C54">
        <v>14</v>
      </c>
      <c r="D54" s="10">
        <v>15671</v>
      </c>
      <c r="E54" s="3">
        <v>1317065</v>
      </c>
      <c r="F54" s="8">
        <v>197559.75</v>
      </c>
      <c r="G54" s="5">
        <v>395.11950000000002</v>
      </c>
      <c r="H54" s="3">
        <v>37.25</v>
      </c>
      <c r="I54" s="8">
        <v>452.93</v>
      </c>
      <c r="J54" s="3">
        <v>2.07642792606898</v>
      </c>
      <c r="K54">
        <v>55</v>
      </c>
    </row>
    <row r="55" spans="1:11" x14ac:dyDescent="0.3">
      <c r="A55">
        <v>4</v>
      </c>
      <c r="B55" s="1">
        <v>44713</v>
      </c>
      <c r="C55">
        <v>12</v>
      </c>
      <c r="D55" s="10">
        <v>19022</v>
      </c>
      <c r="E55" s="3">
        <v>1196071</v>
      </c>
      <c r="F55" s="8">
        <v>179410.65</v>
      </c>
      <c r="G55" s="5">
        <v>358.82130000000001</v>
      </c>
      <c r="H55" s="3">
        <v>20.51</v>
      </c>
      <c r="I55" s="8">
        <v>188.59</v>
      </c>
      <c r="J55" s="3">
        <v>1.1432895775483101</v>
      </c>
      <c r="K55">
        <v>61</v>
      </c>
    </row>
    <row r="56" spans="1:11" x14ac:dyDescent="0.3">
      <c r="A56">
        <v>4</v>
      </c>
      <c r="B56" s="1">
        <v>44743</v>
      </c>
      <c r="C56">
        <v>11</v>
      </c>
      <c r="D56" s="10">
        <v>18722</v>
      </c>
      <c r="E56" s="3">
        <v>1182347</v>
      </c>
      <c r="F56" s="8">
        <v>177352.05</v>
      </c>
      <c r="G56" s="5">
        <v>354.70409999999998</v>
      </c>
      <c r="H56" s="3">
        <v>12.83</v>
      </c>
      <c r="I56" s="8">
        <v>212.14</v>
      </c>
      <c r="J56" s="3">
        <v>0.71518309507288702</v>
      </c>
      <c r="K56">
        <v>68</v>
      </c>
    </row>
    <row r="57" spans="1:11" x14ac:dyDescent="0.3">
      <c r="A57">
        <v>4</v>
      </c>
      <c r="B57" s="1">
        <v>44774</v>
      </c>
      <c r="C57">
        <v>12</v>
      </c>
      <c r="D57" s="10">
        <v>17999</v>
      </c>
      <c r="E57" s="3">
        <v>1196277</v>
      </c>
      <c r="F57" s="8">
        <v>179441.55</v>
      </c>
      <c r="G57" s="5">
        <v>358.88310000000001</v>
      </c>
      <c r="H57" s="3">
        <v>4.53</v>
      </c>
      <c r="I57" s="8">
        <v>128.91999999999999</v>
      </c>
      <c r="J57" s="3">
        <v>0.25251593302261699</v>
      </c>
      <c r="K57">
        <v>69</v>
      </c>
    </row>
    <row r="58" spans="1:11" x14ac:dyDescent="0.3">
      <c r="A58">
        <v>4</v>
      </c>
      <c r="B58" s="1">
        <v>44805</v>
      </c>
      <c r="C58">
        <v>13</v>
      </c>
      <c r="D58" s="10">
        <v>16231</v>
      </c>
      <c r="E58" s="3">
        <v>1333834</v>
      </c>
      <c r="F58" s="8">
        <v>200075.1</v>
      </c>
      <c r="G58" s="5">
        <v>400.15019999999998</v>
      </c>
      <c r="H58" s="3">
        <v>76.38</v>
      </c>
      <c r="I58" s="8">
        <v>810.78</v>
      </c>
      <c r="J58" s="3">
        <v>4.2576527514939304</v>
      </c>
      <c r="K58">
        <v>59</v>
      </c>
    </row>
    <row r="59" spans="1:11" x14ac:dyDescent="0.3">
      <c r="A59">
        <v>4</v>
      </c>
      <c r="B59" s="1">
        <v>44835</v>
      </c>
      <c r="C59">
        <v>11</v>
      </c>
      <c r="D59" s="10">
        <v>17886</v>
      </c>
      <c r="E59" s="3">
        <v>1709194</v>
      </c>
      <c r="F59" s="8">
        <v>256379.09999999998</v>
      </c>
      <c r="G59" s="5">
        <v>512.75819999999999</v>
      </c>
      <c r="H59" s="3">
        <v>542.04999999999995</v>
      </c>
      <c r="I59" s="8">
        <v>5393.92</v>
      </c>
      <c r="J59" s="3">
        <v>30.215510263776899</v>
      </c>
      <c r="K59">
        <v>55</v>
      </c>
    </row>
    <row r="60" spans="1:11" x14ac:dyDescent="0.3">
      <c r="A60">
        <v>4</v>
      </c>
      <c r="B60" s="1">
        <v>44866</v>
      </c>
      <c r="C60">
        <v>12</v>
      </c>
      <c r="D60" s="10">
        <v>16543</v>
      </c>
      <c r="E60" s="3">
        <v>1620154</v>
      </c>
      <c r="F60" s="8">
        <v>243023.09999999998</v>
      </c>
      <c r="G60" s="5">
        <v>486.0462</v>
      </c>
      <c r="H60" s="3">
        <v>739.01</v>
      </c>
      <c r="I60" s="8">
        <v>7261.23</v>
      </c>
      <c r="J60" s="3">
        <v>41.1946577622614</v>
      </c>
      <c r="K60">
        <v>48</v>
      </c>
    </row>
    <row r="61" spans="1:11" x14ac:dyDescent="0.3">
      <c r="A61">
        <v>4</v>
      </c>
      <c r="B61" s="1">
        <v>44896</v>
      </c>
      <c r="C61">
        <v>11</v>
      </c>
      <c r="D61" s="10">
        <v>18675</v>
      </c>
      <c r="E61" s="3">
        <v>1531073</v>
      </c>
      <c r="F61" s="8">
        <v>229660.94999999998</v>
      </c>
      <c r="G61" s="5">
        <v>459.32190000000003</v>
      </c>
      <c r="H61" s="3">
        <v>428.2</v>
      </c>
      <c r="I61" s="8">
        <v>4336.96</v>
      </c>
      <c r="J61" s="3">
        <v>23.869166119268101</v>
      </c>
      <c r="K61">
        <v>35</v>
      </c>
    </row>
    <row r="62" spans="1:11" x14ac:dyDescent="0.3">
      <c r="A62">
        <v>5</v>
      </c>
      <c r="B62" s="1">
        <v>44562</v>
      </c>
      <c r="C62">
        <v>13</v>
      </c>
      <c r="D62" s="10">
        <v>19877</v>
      </c>
      <c r="E62" s="3">
        <v>2292960</v>
      </c>
      <c r="F62" s="8">
        <v>375878.92</v>
      </c>
      <c r="G62" s="5">
        <v>1261.14043242912</v>
      </c>
      <c r="H62" s="3">
        <v>66124</v>
      </c>
      <c r="I62" s="8">
        <f>H62*6.13</f>
        <v>405340.12</v>
      </c>
      <c r="J62" s="3">
        <v>368.50723438348803</v>
      </c>
      <c r="K62">
        <v>24.1</v>
      </c>
    </row>
    <row r="63" spans="1:11" x14ac:dyDescent="0.3">
      <c r="A63">
        <v>5</v>
      </c>
      <c r="B63" s="1">
        <v>44593</v>
      </c>
      <c r="C63">
        <v>10</v>
      </c>
      <c r="D63" s="10">
        <v>19632</v>
      </c>
      <c r="E63" s="3">
        <v>1374360</v>
      </c>
      <c r="F63" s="8">
        <v>244614.7</v>
      </c>
      <c r="G63" s="5">
        <v>755.90545177991999</v>
      </c>
      <c r="H63" s="3">
        <v>60170</v>
      </c>
      <c r="I63" s="8">
        <f t="shared" ref="I63:I73" si="1">H63*6.13</f>
        <v>368842.1</v>
      </c>
      <c r="J63" s="3">
        <v>335.32575604703999</v>
      </c>
      <c r="K63">
        <v>27</v>
      </c>
    </row>
    <row r="64" spans="1:11" x14ac:dyDescent="0.3">
      <c r="A64">
        <v>5</v>
      </c>
      <c r="B64" s="1">
        <v>44621</v>
      </c>
      <c r="C64">
        <v>9</v>
      </c>
      <c r="D64" s="10">
        <v>19003</v>
      </c>
      <c r="E64" s="3">
        <v>1824240</v>
      </c>
      <c r="F64" s="8">
        <v>343748.97</v>
      </c>
      <c r="G64" s="5">
        <v>1003.34189102928</v>
      </c>
      <c r="H64" s="3">
        <v>155042</v>
      </c>
      <c r="I64" s="8">
        <f t="shared" si="1"/>
        <v>950407.46</v>
      </c>
      <c r="J64" s="3">
        <v>864.04480420550397</v>
      </c>
      <c r="K64">
        <v>39</v>
      </c>
    </row>
    <row r="65" spans="1:11" x14ac:dyDescent="0.3">
      <c r="A65">
        <v>5</v>
      </c>
      <c r="B65" s="1">
        <v>44652</v>
      </c>
      <c r="C65">
        <v>9</v>
      </c>
      <c r="D65" s="10">
        <v>18997</v>
      </c>
      <c r="E65" s="3">
        <v>1497000</v>
      </c>
      <c r="F65" s="8">
        <v>277253.77</v>
      </c>
      <c r="G65" s="5">
        <v>823.35811673399996</v>
      </c>
      <c r="H65" s="3">
        <v>49723</v>
      </c>
      <c r="I65" s="8">
        <f t="shared" si="1"/>
        <v>304801.99</v>
      </c>
      <c r="J65" s="3">
        <v>277.10491221417601</v>
      </c>
      <c r="K65">
        <v>48</v>
      </c>
    </row>
    <row r="66" spans="1:11" x14ac:dyDescent="0.3">
      <c r="A66">
        <v>5</v>
      </c>
      <c r="B66" s="1">
        <v>44682</v>
      </c>
      <c r="C66">
        <v>12</v>
      </c>
      <c r="D66" s="10">
        <v>18931</v>
      </c>
      <c r="E66" s="3">
        <v>1332320</v>
      </c>
      <c r="F66" s="8">
        <v>264576.87</v>
      </c>
      <c r="G66" s="5">
        <v>732.78322383903901</v>
      </c>
      <c r="H66" s="3">
        <v>29140</v>
      </c>
      <c r="I66" s="8">
        <f t="shared" si="1"/>
        <v>178628.19999999998</v>
      </c>
      <c r="J66" s="3">
        <v>162.39641899968001</v>
      </c>
      <c r="K66">
        <v>58</v>
      </c>
    </row>
    <row r="67" spans="1:11" x14ac:dyDescent="0.3">
      <c r="A67">
        <v>5</v>
      </c>
      <c r="B67" s="1">
        <v>44713</v>
      </c>
      <c r="C67">
        <v>11</v>
      </c>
      <c r="D67" s="10">
        <v>19002</v>
      </c>
      <c r="E67" s="3">
        <v>1165480</v>
      </c>
      <c r="F67" s="8">
        <v>337532.74</v>
      </c>
      <c r="G67" s="5">
        <v>641.02031923256004</v>
      </c>
      <c r="H67" s="3">
        <v>19614</v>
      </c>
      <c r="I67" s="8">
        <f t="shared" si="1"/>
        <v>120233.81999999999</v>
      </c>
      <c r="J67" s="3">
        <v>109.308282850368</v>
      </c>
      <c r="K67">
        <v>67</v>
      </c>
    </row>
    <row r="68" spans="1:11" x14ac:dyDescent="0.3">
      <c r="A68">
        <v>5</v>
      </c>
      <c r="B68" s="1">
        <v>44743</v>
      </c>
      <c r="C68">
        <v>10</v>
      </c>
      <c r="D68" s="10">
        <v>19991</v>
      </c>
      <c r="E68" s="3">
        <v>1520840</v>
      </c>
      <c r="F68" s="8">
        <v>426459.73</v>
      </c>
      <c r="G68" s="5">
        <v>836.470245994479</v>
      </c>
      <c r="H68" s="3">
        <v>19814</v>
      </c>
      <c r="I68" s="8">
        <f t="shared" si="1"/>
        <v>121459.81999999999</v>
      </c>
      <c r="J68" s="3">
        <v>110.422877352767</v>
      </c>
      <c r="K68">
        <v>71</v>
      </c>
    </row>
    <row r="69" spans="1:11" x14ac:dyDescent="0.3">
      <c r="A69">
        <v>5</v>
      </c>
      <c r="B69" s="1">
        <v>44774</v>
      </c>
      <c r="C69">
        <v>12</v>
      </c>
      <c r="D69" s="10">
        <v>19123</v>
      </c>
      <c r="E69" s="3">
        <v>1405760</v>
      </c>
      <c r="F69" s="8">
        <v>417785.97</v>
      </c>
      <c r="G69" s="5">
        <v>773.17562203071896</v>
      </c>
      <c r="H69" s="3">
        <v>24128</v>
      </c>
      <c r="I69" s="8">
        <f t="shared" si="1"/>
        <v>147904.63999999998</v>
      </c>
      <c r="J69" s="3">
        <v>134.46468076953599</v>
      </c>
      <c r="K69">
        <v>70</v>
      </c>
    </row>
    <row r="70" spans="1:11" x14ac:dyDescent="0.3">
      <c r="A70">
        <v>5</v>
      </c>
      <c r="B70" s="1">
        <v>44805</v>
      </c>
      <c r="C70">
        <v>10</v>
      </c>
      <c r="D70" s="10">
        <v>18796</v>
      </c>
      <c r="E70" s="3">
        <v>1282640</v>
      </c>
      <c r="F70" s="8">
        <v>352341.82</v>
      </c>
      <c r="G70" s="5">
        <v>705.45895447407997</v>
      </c>
      <c r="H70" s="3">
        <v>23678</v>
      </c>
      <c r="I70" s="8">
        <f t="shared" si="1"/>
        <v>145146.13999999998</v>
      </c>
      <c r="J70" s="3">
        <v>1319.8835015694301</v>
      </c>
      <c r="K70">
        <v>64</v>
      </c>
    </row>
    <row r="71" spans="1:11" x14ac:dyDescent="0.3">
      <c r="A71">
        <v>5</v>
      </c>
      <c r="B71" s="1">
        <v>44835</v>
      </c>
      <c r="C71">
        <v>9</v>
      </c>
      <c r="D71" s="10">
        <v>17659</v>
      </c>
      <c r="E71" s="3">
        <v>1705000</v>
      </c>
      <c r="F71" s="8">
        <v>335309.84999999998</v>
      </c>
      <c r="G71" s="5">
        <v>937.75924450999901</v>
      </c>
      <c r="H71" s="3">
        <v>37454</v>
      </c>
      <c r="I71" s="8">
        <f t="shared" si="1"/>
        <v>229593.02</v>
      </c>
      <c r="J71" s="3">
        <v>208.73011246444801</v>
      </c>
      <c r="K71">
        <v>52</v>
      </c>
    </row>
    <row r="72" spans="1:11" x14ac:dyDescent="0.3">
      <c r="A72">
        <v>5</v>
      </c>
      <c r="B72" s="1">
        <v>44866</v>
      </c>
      <c r="C72">
        <v>7</v>
      </c>
      <c r="D72" s="10">
        <v>18023</v>
      </c>
      <c r="E72" s="3">
        <v>1426000</v>
      </c>
      <c r="F72" s="8">
        <v>287676.56</v>
      </c>
      <c r="G72" s="5">
        <v>784.30773177200001</v>
      </c>
      <c r="H72" s="3">
        <v>44849</v>
      </c>
      <c r="I72" s="8">
        <f t="shared" si="1"/>
        <v>274924.37</v>
      </c>
      <c r="J72" s="3">
        <v>249.942244190688</v>
      </c>
      <c r="K72">
        <v>40</v>
      </c>
    </row>
    <row r="73" spans="1:11" x14ac:dyDescent="0.3">
      <c r="A73">
        <v>5</v>
      </c>
      <c r="B73" s="1">
        <v>44896</v>
      </c>
      <c r="C73">
        <v>8</v>
      </c>
      <c r="D73" s="10">
        <v>19021</v>
      </c>
      <c r="E73" s="3">
        <v>1859480</v>
      </c>
      <c r="F73" s="8">
        <v>331777.74</v>
      </c>
      <c r="G73" s="5">
        <v>1022.7240821005601</v>
      </c>
      <c r="H73" s="3">
        <v>49208</v>
      </c>
      <c r="I73" s="8">
        <f t="shared" si="1"/>
        <v>301645.03999999998</v>
      </c>
      <c r="J73" s="3">
        <v>274.23483137049601</v>
      </c>
      <c r="K73">
        <v>31</v>
      </c>
    </row>
    <row r="74" spans="1:11" x14ac:dyDescent="0.3">
      <c r="D74" s="9"/>
    </row>
    <row r="75" spans="1:11" x14ac:dyDescent="0.3">
      <c r="D75" s="9"/>
    </row>
    <row r="76" spans="1:11" x14ac:dyDescent="0.3">
      <c r="D76" s="9"/>
    </row>
    <row r="77" spans="1:11" x14ac:dyDescent="0.3">
      <c r="D77" s="9"/>
    </row>
    <row r="78" spans="1:11" x14ac:dyDescent="0.3">
      <c r="D78" s="9"/>
    </row>
    <row r="79" spans="1:11" x14ac:dyDescent="0.3">
      <c r="D79" s="9"/>
    </row>
    <row r="80" spans="1:11" x14ac:dyDescent="0.3">
      <c r="D80" s="9"/>
    </row>
    <row r="81" spans="4:4" x14ac:dyDescent="0.3">
      <c r="D81" s="9"/>
    </row>
    <row r="82" spans="4:4" x14ac:dyDescent="0.3">
      <c r="D82" s="9"/>
    </row>
    <row r="83" spans="4:4" x14ac:dyDescent="0.3">
      <c r="D83" s="9"/>
    </row>
    <row r="84" spans="4:4" x14ac:dyDescent="0.3">
      <c r="D84" s="9"/>
    </row>
    <row r="85" spans="4:4" x14ac:dyDescent="0.3">
      <c r="D85" s="9"/>
    </row>
    <row r="86" spans="4:4" x14ac:dyDescent="0.3">
      <c r="D86" s="9"/>
    </row>
    <row r="87" spans="4:4" x14ac:dyDescent="0.3">
      <c r="D87" s="9"/>
    </row>
    <row r="88" spans="4:4" x14ac:dyDescent="0.3">
      <c r="D88" s="9"/>
    </row>
    <row r="89" spans="4:4" x14ac:dyDescent="0.3">
      <c r="D89" s="9"/>
    </row>
    <row r="90" spans="4:4" x14ac:dyDescent="0.3">
      <c r="D90" s="9"/>
    </row>
    <row r="91" spans="4:4" x14ac:dyDescent="0.3">
      <c r="D91" s="9"/>
    </row>
    <row r="92" spans="4:4" x14ac:dyDescent="0.3">
      <c r="D92" s="9"/>
    </row>
    <row r="93" spans="4:4" x14ac:dyDescent="0.3">
      <c r="D93" s="9"/>
    </row>
    <row r="94" spans="4:4" x14ac:dyDescent="0.3">
      <c r="D94" s="9"/>
    </row>
    <row r="95" spans="4:4" x14ac:dyDescent="0.3">
      <c r="D95" s="9"/>
    </row>
    <row r="96" spans="4:4" x14ac:dyDescent="0.3">
      <c r="D96" s="9"/>
    </row>
    <row r="97" spans="4:4" x14ac:dyDescent="0.3">
      <c r="D97" s="9"/>
    </row>
    <row r="98" spans="4:4" x14ac:dyDescent="0.3">
      <c r="D98" s="9"/>
    </row>
    <row r="99" spans="4:4" x14ac:dyDescent="0.3">
      <c r="D99" s="9"/>
    </row>
    <row r="100" spans="4:4" x14ac:dyDescent="0.3">
      <c r="D100" s="9"/>
    </row>
    <row r="101" spans="4:4" x14ac:dyDescent="0.3">
      <c r="D101" s="9"/>
    </row>
    <row r="102" spans="4:4" x14ac:dyDescent="0.3">
      <c r="D102" s="9"/>
    </row>
    <row r="103" spans="4:4" x14ac:dyDescent="0.3">
      <c r="D103" s="9"/>
    </row>
    <row r="104" spans="4:4" x14ac:dyDescent="0.3">
      <c r="D104" s="9"/>
    </row>
    <row r="105" spans="4:4" x14ac:dyDescent="0.3">
      <c r="D105" s="9"/>
    </row>
    <row r="106" spans="4:4" x14ac:dyDescent="0.3">
      <c r="D106" s="9"/>
    </row>
    <row r="107" spans="4:4" x14ac:dyDescent="0.3">
      <c r="D107" s="9"/>
    </row>
    <row r="108" spans="4:4" x14ac:dyDescent="0.3">
      <c r="D108" s="9"/>
    </row>
    <row r="109" spans="4:4" x14ac:dyDescent="0.3">
      <c r="D109" s="9"/>
    </row>
    <row r="110" spans="4:4" x14ac:dyDescent="0.3">
      <c r="D110" s="9"/>
    </row>
    <row r="111" spans="4:4" x14ac:dyDescent="0.3">
      <c r="D111" s="9"/>
    </row>
    <row r="112" spans="4:4" x14ac:dyDescent="0.3">
      <c r="D112" s="9"/>
    </row>
    <row r="113" spans="4:4" x14ac:dyDescent="0.3">
      <c r="D113" s="9"/>
    </row>
    <row r="114" spans="4:4" x14ac:dyDescent="0.3">
      <c r="D114" s="9"/>
    </row>
    <row r="115" spans="4:4" x14ac:dyDescent="0.3">
      <c r="D115" s="9"/>
    </row>
    <row r="116" spans="4:4" x14ac:dyDescent="0.3">
      <c r="D116" s="9"/>
    </row>
    <row r="117" spans="4:4" x14ac:dyDescent="0.3">
      <c r="D117" s="9"/>
    </row>
    <row r="118" spans="4:4" x14ac:dyDescent="0.3">
      <c r="D118" s="9"/>
    </row>
    <row r="119" spans="4:4" x14ac:dyDescent="0.3">
      <c r="D119" s="9"/>
    </row>
    <row r="120" spans="4:4" x14ac:dyDescent="0.3">
      <c r="D120" s="9"/>
    </row>
    <row r="121" spans="4:4" x14ac:dyDescent="0.3">
      <c r="D121" s="9"/>
    </row>
    <row r="122" spans="4:4" x14ac:dyDescent="0.3">
      <c r="D122" s="9"/>
    </row>
    <row r="123" spans="4:4" x14ac:dyDescent="0.3">
      <c r="D123" s="9"/>
    </row>
    <row r="124" spans="4:4" x14ac:dyDescent="0.3">
      <c r="D124" s="9"/>
    </row>
    <row r="125" spans="4:4" x14ac:dyDescent="0.3">
      <c r="D125" s="9"/>
    </row>
    <row r="126" spans="4:4" x14ac:dyDescent="0.3">
      <c r="D126" s="9"/>
    </row>
    <row r="127" spans="4:4" x14ac:dyDescent="0.3">
      <c r="D127" s="9"/>
    </row>
    <row r="128" spans="4:4" x14ac:dyDescent="0.3"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  <row r="145" spans="4:4" x14ac:dyDescent="0.3">
      <c r="D145" s="9"/>
    </row>
    <row r="146" spans="4:4" x14ac:dyDescent="0.3">
      <c r="D146" s="9"/>
    </row>
    <row r="147" spans="4:4" x14ac:dyDescent="0.3">
      <c r="D147" s="9"/>
    </row>
    <row r="148" spans="4:4" x14ac:dyDescent="0.3">
      <c r="D148" s="9"/>
    </row>
    <row r="149" spans="4:4" x14ac:dyDescent="0.3">
      <c r="D149" s="9"/>
    </row>
    <row r="150" spans="4:4" x14ac:dyDescent="0.3">
      <c r="D150" s="9"/>
    </row>
    <row r="151" spans="4:4" x14ac:dyDescent="0.3">
      <c r="D151" s="9"/>
    </row>
    <row r="152" spans="4:4" x14ac:dyDescent="0.3">
      <c r="D152" s="9"/>
    </row>
    <row r="153" spans="4:4" x14ac:dyDescent="0.3">
      <c r="D153" s="9"/>
    </row>
    <row r="154" spans="4:4" x14ac:dyDescent="0.3">
      <c r="D154" s="9"/>
    </row>
    <row r="155" spans="4:4" x14ac:dyDescent="0.3">
      <c r="D155" s="9"/>
    </row>
    <row r="156" spans="4:4" x14ac:dyDescent="0.3">
      <c r="D156" s="9"/>
    </row>
    <row r="157" spans="4:4" x14ac:dyDescent="0.3">
      <c r="D157" s="9"/>
    </row>
    <row r="158" spans="4:4" x14ac:dyDescent="0.3">
      <c r="D158" s="9"/>
    </row>
    <row r="159" spans="4:4" x14ac:dyDescent="0.3">
      <c r="D159" s="9"/>
    </row>
    <row r="160" spans="4:4" x14ac:dyDescent="0.3">
      <c r="D160" s="9"/>
    </row>
    <row r="161" spans="4:4" x14ac:dyDescent="0.3">
      <c r="D161" s="9"/>
    </row>
    <row r="162" spans="4:4" x14ac:dyDescent="0.3">
      <c r="D162" s="9"/>
    </row>
    <row r="163" spans="4:4" x14ac:dyDescent="0.3">
      <c r="D163" s="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CE3C-1A91-481D-9D6A-43C57466496C}">
  <dimension ref="A1:F7"/>
  <sheetViews>
    <sheetView workbookViewId="0">
      <selection activeCell="D14" sqref="D14"/>
    </sheetView>
  </sheetViews>
  <sheetFormatPr defaultRowHeight="15.6" x14ac:dyDescent="0.3"/>
  <cols>
    <col min="1" max="6" width="13.796875" customWidth="1"/>
  </cols>
  <sheetData>
    <row r="1" spans="1:6" ht="31.2" x14ac:dyDescent="0.3">
      <c r="A1" s="2" t="s">
        <v>20</v>
      </c>
      <c r="B1" s="2" t="s">
        <v>0</v>
      </c>
      <c r="C1" s="2" t="s">
        <v>9</v>
      </c>
      <c r="D1" s="2" t="s">
        <v>2</v>
      </c>
      <c r="E1" s="2" t="s">
        <v>3</v>
      </c>
      <c r="F1" s="7" t="s">
        <v>30</v>
      </c>
    </row>
    <row r="2" spans="1:6" x14ac:dyDescent="0.3">
      <c r="A2">
        <v>1</v>
      </c>
      <c r="B2" t="s">
        <v>1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3">
      <c r="A3">
        <v>2</v>
      </c>
      <c r="B3" t="s">
        <v>1</v>
      </c>
      <c r="C3" t="s">
        <v>15</v>
      </c>
      <c r="D3" t="s">
        <v>16</v>
      </c>
      <c r="E3" t="s">
        <v>12</v>
      </c>
      <c r="F3" t="s">
        <v>17</v>
      </c>
    </row>
    <row r="4" spans="1:6" x14ac:dyDescent="0.3">
      <c r="A4">
        <v>3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</row>
    <row r="5" spans="1:6" x14ac:dyDescent="0.3">
      <c r="A5">
        <v>4</v>
      </c>
      <c r="B5" t="s">
        <v>22</v>
      </c>
      <c r="C5" t="s">
        <v>25</v>
      </c>
      <c r="D5" t="s">
        <v>26</v>
      </c>
      <c r="E5" t="s">
        <v>12</v>
      </c>
      <c r="F5" t="s">
        <v>24</v>
      </c>
    </row>
    <row r="6" spans="1:6" x14ac:dyDescent="0.3">
      <c r="A6">
        <v>5</v>
      </c>
      <c r="B6" t="s">
        <v>22</v>
      </c>
      <c r="C6" t="s">
        <v>25</v>
      </c>
      <c r="D6" t="s">
        <v>11</v>
      </c>
      <c r="E6" t="s">
        <v>28</v>
      </c>
      <c r="F6" t="s">
        <v>24</v>
      </c>
    </row>
    <row r="7" spans="1:6" x14ac:dyDescent="0.3">
      <c r="A7">
        <v>6</v>
      </c>
      <c r="B7" t="s">
        <v>22</v>
      </c>
      <c r="C7" t="s">
        <v>23</v>
      </c>
      <c r="D7" t="s">
        <v>27</v>
      </c>
      <c r="E7" t="s">
        <v>28</v>
      </c>
      <c r="F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Fulmer</dc:creator>
  <cp:lastModifiedBy>Ozkul, Ahmet</cp:lastModifiedBy>
  <dcterms:created xsi:type="dcterms:W3CDTF">2023-12-06T12:30:56Z</dcterms:created>
  <dcterms:modified xsi:type="dcterms:W3CDTF">2024-01-04T21:24:23Z</dcterms:modified>
</cp:coreProperties>
</file>